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phaqueb/Desktop/"/>
    </mc:Choice>
  </mc:AlternateContent>
  <xr:revisionPtr revIDLastSave="0" documentId="8_{1667F331-F7CC-0E46-B965-6DB4EC84F3C6}" xr6:coauthVersionLast="47" xr6:coauthVersionMax="47" xr10:uidLastSave="{00000000-0000-0000-0000-000000000000}"/>
  <bookViews>
    <workbookView xWindow="-38400" yWindow="-752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 s="1"/>
  <c r="G16" i="1" s="1"/>
  <c r="E17" i="1"/>
  <c r="F17" i="1"/>
  <c r="G17" i="1"/>
  <c r="E18" i="1"/>
  <c r="F18" i="1" s="1"/>
  <c r="G18" i="1" s="1"/>
  <c r="E19" i="1"/>
  <c r="F19" i="1" s="1"/>
  <c r="G19" i="1" s="1"/>
  <c r="E20" i="1"/>
  <c r="F20" i="1"/>
  <c r="G20" i="1"/>
  <c r="D42" i="1"/>
  <c r="D43" i="1"/>
  <c r="D44" i="1"/>
  <c r="D45" i="1"/>
  <c r="E21" i="1"/>
  <c r="F21" i="1" s="1"/>
  <c r="G21" i="1" s="1"/>
  <c r="E22" i="1"/>
  <c r="F22" i="1"/>
  <c r="G22" i="1"/>
  <c r="E23" i="1"/>
  <c r="F23" i="1" s="1"/>
  <c r="G23" i="1" s="1"/>
  <c r="E24" i="1"/>
  <c r="F24" i="1"/>
  <c r="G24" i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2" i="1"/>
  <c r="F2" i="1" s="1"/>
  <c r="G2" i="1" s="1"/>
  <c r="E3" i="1"/>
  <c r="F3" i="1" s="1"/>
  <c r="G3" i="1" s="1"/>
  <c r="E4" i="1"/>
  <c r="F4" i="1"/>
  <c r="G4" i="1" s="1"/>
  <c r="E5" i="1"/>
  <c r="F5" i="1"/>
  <c r="G5" i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/>
  <c r="G13" i="1" s="1"/>
  <c r="E14" i="1"/>
  <c r="F14" i="1" s="1"/>
  <c r="G14" i="1" s="1"/>
  <c r="E15" i="1"/>
  <c r="F15" i="1" s="1"/>
  <c r="G15" i="1" s="1"/>
  <c r="E37" i="1"/>
  <c r="F37" i="1" s="1"/>
  <c r="G37" i="1" s="1"/>
  <c r="E30" i="1"/>
  <c r="F30" i="1" s="1"/>
  <c r="G30" i="1" s="1"/>
  <c r="E26" i="1"/>
  <c r="F26" i="1"/>
  <c r="G26" i="1" s="1"/>
  <c r="E35" i="1"/>
  <c r="F35" i="1" s="1"/>
  <c r="G35" i="1" s="1"/>
  <c r="E28" i="1"/>
  <c r="F28" i="1"/>
  <c r="G28" i="1" s="1"/>
  <c r="E29" i="1"/>
  <c r="F29" i="1"/>
  <c r="G29" i="1" s="1"/>
  <c r="E27" i="1"/>
  <c r="F27" i="1" s="1"/>
  <c r="G27" i="1" s="1"/>
  <c r="E31" i="1"/>
  <c r="F31" i="1" s="1"/>
  <c r="G31" i="1" s="1"/>
  <c r="E34" i="1"/>
  <c r="F34" i="1"/>
  <c r="G34" i="1" s="1"/>
  <c r="E36" i="1"/>
  <c r="F36" i="1"/>
  <c r="G36" i="1" s="1"/>
  <c r="E33" i="1"/>
  <c r="F33" i="1" s="1"/>
  <c r="G33" i="1" s="1"/>
  <c r="E25" i="1"/>
  <c r="F25" i="1" s="1"/>
  <c r="G25" i="1" s="1"/>
  <c r="E32" i="1"/>
  <c r="F32" i="1" s="1"/>
  <c r="G32" i="1" s="1"/>
  <c r="E38" i="1"/>
  <c r="F38" i="1"/>
  <c r="G38" i="1" s="1"/>
</calcChain>
</file>

<file path=xl/sharedStrings.xml><?xml version="1.0" encoding="utf-8"?>
<sst xmlns="http://schemas.openxmlformats.org/spreadsheetml/2006/main" count="148" uniqueCount="103">
  <si>
    <t>Nombre</t>
  </si>
  <si>
    <t>Código</t>
  </si>
  <si>
    <t>Tipo de proceso</t>
  </si>
  <si>
    <t>CORTE  MARMOL  5 x LL</t>
  </si>
  <si>
    <t>CM01</t>
  </si>
  <si>
    <t>Corte / Formato</t>
  </si>
  <si>
    <t>CORTE  MARMOL 10 x LL</t>
  </si>
  <si>
    <t>CM02</t>
  </si>
  <si>
    <t>CORTE  MARMOL 10 x 10</t>
  </si>
  <si>
    <t>CM03</t>
  </si>
  <si>
    <t>CORTE  MARMOL 20 x LL</t>
  </si>
  <si>
    <t>CM04</t>
  </si>
  <si>
    <t>CORTE  MARMOL 20 x 20</t>
  </si>
  <si>
    <t>CM05</t>
  </si>
  <si>
    <t>CORTE  MARMOL 30 x LL</t>
  </si>
  <si>
    <t>CM06</t>
  </si>
  <si>
    <t>CORTE  MARMOL 30 x 30</t>
  </si>
  <si>
    <t>CM07</t>
  </si>
  <si>
    <t>CORTE  MARMOL 30 x 60</t>
  </si>
  <si>
    <t>CM08</t>
  </si>
  <si>
    <t>CORTE  MARMOL 40 x LL</t>
  </si>
  <si>
    <t>CM09</t>
  </si>
  <si>
    <t>CORTE  MARMOL 40 x 40</t>
  </si>
  <si>
    <t>CM10</t>
  </si>
  <si>
    <t>CORTE  MARMOL 40 x 60</t>
  </si>
  <si>
    <t>CM11</t>
  </si>
  <si>
    <t>CORTE  MARMOL 60 x LL</t>
  </si>
  <si>
    <t>CM12</t>
  </si>
  <si>
    <t>CORTE  MARMOL 60 x 60</t>
  </si>
  <si>
    <t>CM13</t>
  </si>
  <si>
    <t>CORTE  MARMOL 60 x 120</t>
  </si>
  <si>
    <t>CM14</t>
  </si>
  <si>
    <t>MATIZADO MARMOL</t>
  </si>
  <si>
    <t>MM01</t>
  </si>
  <si>
    <t>Acabado</t>
  </si>
  <si>
    <t>PULIDO MARMOL</t>
  </si>
  <si>
    <t>PM01</t>
  </si>
  <si>
    <t>CEPILLADO MARMOL</t>
  </si>
  <si>
    <t>CPM01</t>
  </si>
  <si>
    <t>BUSARDEADO MARMOL</t>
  </si>
  <si>
    <t>BM01</t>
  </si>
  <si>
    <t>SANDBLASTEADO MARMOL</t>
  </si>
  <si>
    <t>SBM01</t>
  </si>
  <si>
    <t>RECTIFICADO MARMOL 3 MM X 1 CM</t>
  </si>
  <si>
    <t>RM01</t>
  </si>
  <si>
    <t>RECTIFICADO MARMOL 3 MM X 2 CM</t>
  </si>
  <si>
    <t>RM02</t>
  </si>
  <si>
    <t>RECTIFICADO MARMOL 1 CM X 1 CM</t>
  </si>
  <si>
    <t>RM03</t>
  </si>
  <si>
    <t>RECTIFICADO MARMOL 1 CM X 2 CM</t>
  </si>
  <si>
    <t>RM04</t>
  </si>
  <si>
    <t>CORTE GRANITO 5 x LL</t>
  </si>
  <si>
    <t>CG01</t>
  </si>
  <si>
    <t>CORTE GRANITO 10 x LL</t>
  </si>
  <si>
    <t>CG02</t>
  </si>
  <si>
    <t>CORTE GRANITO 10 x 10</t>
  </si>
  <si>
    <t>CG03</t>
  </si>
  <si>
    <t>CORTE GRANITO 20 x LL</t>
  </si>
  <si>
    <t>CG04</t>
  </si>
  <si>
    <t>CORTE GRANITO 20 x 20</t>
  </si>
  <si>
    <t>CG05</t>
  </si>
  <si>
    <t>CORTE GRANITO 30 x LL</t>
  </si>
  <si>
    <t>CG06</t>
  </si>
  <si>
    <t>CORTE GRANITO 30 x 30</t>
  </si>
  <si>
    <t>CG07</t>
  </si>
  <si>
    <t>CORTE GRANITO 30 x 60</t>
  </si>
  <si>
    <t>CG08</t>
  </si>
  <si>
    <t>CORTE GRANITO 40 x LL</t>
  </si>
  <si>
    <t>CG09</t>
  </si>
  <si>
    <t>CORTE GRANITO 40 x 40</t>
  </si>
  <si>
    <t>CG10</t>
  </si>
  <si>
    <t>CORTE GRANITO 40 x 60</t>
  </si>
  <si>
    <t>CG11</t>
  </si>
  <si>
    <t>CORTE GRANITO 60 x LL</t>
  </si>
  <si>
    <t>CG12</t>
  </si>
  <si>
    <t>CORTE GRANITO 60 x 60</t>
  </si>
  <si>
    <t>CG13</t>
  </si>
  <si>
    <t>CORTE GRANITO 60 x 120</t>
  </si>
  <si>
    <t>CG14</t>
  </si>
  <si>
    <t>MATIZADO GRANITO</t>
  </si>
  <si>
    <t>MG01</t>
  </si>
  <si>
    <t>CEPILLADO GRANITO</t>
  </si>
  <si>
    <t>CPG01</t>
  </si>
  <si>
    <t>PULIDO GRANITO</t>
  </si>
  <si>
    <t>PG01</t>
  </si>
  <si>
    <t>RECTIFICADO GRANITO 3 MM X 1 CM</t>
  </si>
  <si>
    <t>RG01</t>
  </si>
  <si>
    <t>RECTIFICADO GRANITO 3 MM X 2 CM</t>
  </si>
  <si>
    <t>RG02</t>
  </si>
  <si>
    <t>RECTIFICADO GRANITO 1 CM X 2 CM</t>
  </si>
  <si>
    <t>RG03</t>
  </si>
  <si>
    <t>RECTIFICADO GRANITO 1 CM X 1 CM</t>
  </si>
  <si>
    <t>RG04</t>
  </si>
  <si>
    <t>MATIZADO CUARCITA</t>
  </si>
  <si>
    <t>MC01</t>
  </si>
  <si>
    <t>CEPILLADO CUARCITA</t>
  </si>
  <si>
    <t>CPC01</t>
  </si>
  <si>
    <t>PULIDO CUARCITA</t>
  </si>
  <si>
    <t>PC01</t>
  </si>
  <si>
    <t>Minutos/M2</t>
  </si>
  <si>
    <t>Horas/M2</t>
  </si>
  <si>
    <t>100m2</t>
  </si>
  <si>
    <t>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</si>
</sst>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7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214" zoomScaleNormal="214" workbookViewId="0">
      <pane ySplit="1" topLeftCell="A2" activePane="bottomLeft" state="frozen"/>
      <selection pane="bottomLeft" activeCell="E39" sqref="E39:G39"/>
    </sheetView>
  </sheetViews>
  <sheetFormatPr baseColWidth="10" defaultColWidth="8.83203125" defaultRowHeight="15" x14ac:dyDescent="0.2"/>
  <cols>
    <col min="1" max="1" width="30.6640625" customWidth="1"/>
    <col min="2" max="2" width="9" customWidth="1"/>
    <col min="3" max="3" width="30.6640625" hidden="1" customWidth="1"/>
    <col min="4" max="4" width="34.5" customWidth="1"/>
    <col min="5" max="5" width="10.6640625" bestFit="1" customWidth="1"/>
    <col min="6" max="6" width="11.6640625" bestFit="1" customWidth="1"/>
    <col min="7" max="7" width="10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ht="16" x14ac:dyDescent="0.2">
      <c r="A2" s="2" t="s">
        <v>3</v>
      </c>
      <c r="B2" s="2" t="s">
        <v>4</v>
      </c>
      <c r="C2" s="2" t="s">
        <v>5</v>
      </c>
      <c r="D2">
        <v>30</v>
      </c>
      <c r="E2">
        <f t="shared" ref="E2:E48" si="0">D2/60</f>
        <v>0.5</v>
      </c>
      <c r="F2">
        <f t="shared" ref="F2:F48" si="1">E2*100</f>
        <v>50</v>
      </c>
      <c r="G2">
        <f t="shared" ref="G2:G48" si="2">F2/8</f>
        <v>6.25</v>
      </c>
    </row>
    <row r="3" spans="1:7" ht="16" x14ac:dyDescent="0.2">
      <c r="A3" s="2" t="s">
        <v>6</v>
      </c>
      <c r="B3" s="2" t="s">
        <v>7</v>
      </c>
      <c r="C3" s="2" t="s">
        <v>5</v>
      </c>
      <c r="D3">
        <v>25</v>
      </c>
      <c r="E3" s="3">
        <f t="shared" si="0"/>
        <v>0.41666666666666669</v>
      </c>
      <c r="F3" s="3">
        <f t="shared" si="1"/>
        <v>41.666666666666671</v>
      </c>
      <c r="G3" s="3">
        <f t="shared" si="2"/>
        <v>5.2083333333333339</v>
      </c>
    </row>
    <row r="4" spans="1:7" ht="16" x14ac:dyDescent="0.2">
      <c r="A4" s="2" t="s">
        <v>8</v>
      </c>
      <c r="B4" s="2" t="s">
        <v>9</v>
      </c>
      <c r="C4" s="2" t="s">
        <v>5</v>
      </c>
      <c r="D4">
        <v>25</v>
      </c>
      <c r="E4" s="3">
        <f t="shared" si="0"/>
        <v>0.41666666666666669</v>
      </c>
      <c r="F4" s="3">
        <f t="shared" si="1"/>
        <v>41.666666666666671</v>
      </c>
      <c r="G4" s="3">
        <f t="shared" si="2"/>
        <v>5.2083333333333339</v>
      </c>
    </row>
    <row r="5" spans="1:7" ht="16" x14ac:dyDescent="0.2">
      <c r="A5" s="2" t="s">
        <v>10</v>
      </c>
      <c r="B5" s="2" t="s">
        <v>11</v>
      </c>
      <c r="C5" s="2" t="s">
        <v>5</v>
      </c>
      <c r="D5">
        <v>20</v>
      </c>
      <c r="E5" s="3">
        <f t="shared" si="0"/>
        <v>0.33333333333333331</v>
      </c>
      <c r="F5" s="3">
        <f t="shared" si="1"/>
        <v>33.333333333333329</v>
      </c>
      <c r="G5" s="3">
        <f t="shared" si="2"/>
        <v>4.1666666666666661</v>
      </c>
    </row>
    <row r="6" spans="1:7" ht="16" x14ac:dyDescent="0.2">
      <c r="A6" s="2" t="s">
        <v>12</v>
      </c>
      <c r="B6" s="2" t="s">
        <v>13</v>
      </c>
      <c r="C6" s="2" t="s">
        <v>5</v>
      </c>
      <c r="D6">
        <v>22</v>
      </c>
      <c r="E6" s="3">
        <f t="shared" si="0"/>
        <v>0.36666666666666664</v>
      </c>
      <c r="F6" s="3">
        <f t="shared" si="1"/>
        <v>36.666666666666664</v>
      </c>
      <c r="G6" s="3">
        <f t="shared" si="2"/>
        <v>4.583333333333333</v>
      </c>
    </row>
    <row r="7" spans="1:7" ht="16" x14ac:dyDescent="0.2">
      <c r="A7" s="2" t="s">
        <v>14</v>
      </c>
      <c r="B7" s="2" t="s">
        <v>15</v>
      </c>
      <c r="C7" s="2" t="s">
        <v>5</v>
      </c>
      <c r="D7">
        <v>20</v>
      </c>
      <c r="E7" s="3">
        <f t="shared" si="0"/>
        <v>0.33333333333333331</v>
      </c>
      <c r="F7" s="3">
        <f t="shared" si="1"/>
        <v>33.333333333333329</v>
      </c>
      <c r="G7" s="3">
        <f t="shared" si="2"/>
        <v>4.1666666666666661</v>
      </c>
    </row>
    <row r="8" spans="1:7" ht="16" x14ac:dyDescent="0.2">
      <c r="A8" s="2" t="s">
        <v>16</v>
      </c>
      <c r="B8" s="2" t="s">
        <v>17</v>
      </c>
      <c r="C8" s="2" t="s">
        <v>5</v>
      </c>
      <c r="D8">
        <v>21</v>
      </c>
      <c r="E8">
        <f t="shared" si="0"/>
        <v>0.35</v>
      </c>
      <c r="F8">
        <f t="shared" si="1"/>
        <v>35</v>
      </c>
      <c r="G8">
        <f t="shared" si="2"/>
        <v>4.375</v>
      </c>
    </row>
    <row r="9" spans="1:7" ht="16" x14ac:dyDescent="0.2">
      <c r="A9" s="2" t="s">
        <v>18</v>
      </c>
      <c r="B9" s="2" t="s">
        <v>19</v>
      </c>
      <c r="C9" s="2" t="s">
        <v>5</v>
      </c>
      <c r="D9">
        <v>18</v>
      </c>
      <c r="E9">
        <f t="shared" si="0"/>
        <v>0.3</v>
      </c>
      <c r="F9">
        <f t="shared" si="1"/>
        <v>30</v>
      </c>
      <c r="G9">
        <f t="shared" si="2"/>
        <v>3.75</v>
      </c>
    </row>
    <row r="10" spans="1:7" ht="16" x14ac:dyDescent="0.2">
      <c r="A10" s="2" t="s">
        <v>20</v>
      </c>
      <c r="B10" s="2" t="s">
        <v>21</v>
      </c>
      <c r="C10" s="2" t="s">
        <v>5</v>
      </c>
      <c r="D10">
        <v>18</v>
      </c>
      <c r="E10">
        <f t="shared" si="0"/>
        <v>0.3</v>
      </c>
      <c r="F10">
        <f t="shared" si="1"/>
        <v>30</v>
      </c>
      <c r="G10">
        <f t="shared" si="2"/>
        <v>3.75</v>
      </c>
    </row>
    <row r="11" spans="1:7" ht="16" x14ac:dyDescent="0.2">
      <c r="A11" s="2" t="s">
        <v>22</v>
      </c>
      <c r="B11" s="2" t="s">
        <v>23</v>
      </c>
      <c r="C11" s="2" t="s">
        <v>5</v>
      </c>
      <c r="D11">
        <v>18</v>
      </c>
      <c r="E11">
        <f t="shared" si="0"/>
        <v>0.3</v>
      </c>
      <c r="F11">
        <f t="shared" si="1"/>
        <v>30</v>
      </c>
      <c r="G11">
        <f t="shared" si="2"/>
        <v>3.75</v>
      </c>
    </row>
    <row r="12" spans="1:7" ht="16" x14ac:dyDescent="0.2">
      <c r="A12" s="2" t="s">
        <v>24</v>
      </c>
      <c r="B12" s="2" t="s">
        <v>25</v>
      </c>
      <c r="C12" s="2" t="s">
        <v>5</v>
      </c>
      <c r="D12">
        <v>18</v>
      </c>
      <c r="E12">
        <f t="shared" si="0"/>
        <v>0.3</v>
      </c>
      <c r="F12">
        <f t="shared" si="1"/>
        <v>30</v>
      </c>
      <c r="G12">
        <f t="shared" si="2"/>
        <v>3.75</v>
      </c>
    </row>
    <row r="13" spans="1:7" ht="16" x14ac:dyDescent="0.2">
      <c r="A13" s="2" t="s">
        <v>26</v>
      </c>
      <c r="B13" s="2" t="s">
        <v>27</v>
      </c>
      <c r="C13" s="2" t="s">
        <v>5</v>
      </c>
      <c r="D13">
        <v>18</v>
      </c>
      <c r="E13">
        <f t="shared" si="0"/>
        <v>0.3</v>
      </c>
      <c r="F13">
        <f t="shared" si="1"/>
        <v>30</v>
      </c>
      <c r="G13">
        <f t="shared" si="2"/>
        <v>3.75</v>
      </c>
    </row>
    <row r="14" spans="1:7" ht="16" x14ac:dyDescent="0.2">
      <c r="A14" s="2" t="s">
        <v>28</v>
      </c>
      <c r="B14" s="2" t="s">
        <v>29</v>
      </c>
      <c r="C14" s="2" t="s">
        <v>5</v>
      </c>
      <c r="D14">
        <v>18</v>
      </c>
      <c r="E14">
        <f t="shared" si="0"/>
        <v>0.3</v>
      </c>
      <c r="F14">
        <f t="shared" si="1"/>
        <v>30</v>
      </c>
      <c r="G14">
        <f t="shared" si="2"/>
        <v>3.75</v>
      </c>
    </row>
    <row r="15" spans="1:7" ht="16" x14ac:dyDescent="0.2">
      <c r="A15" s="2" t="s">
        <v>30</v>
      </c>
      <c r="B15" s="2" t="s">
        <v>31</v>
      </c>
      <c r="C15" s="2" t="s">
        <v>5</v>
      </c>
      <c r="D15">
        <v>18</v>
      </c>
      <c r="E15">
        <f>D15/60</f>
        <v>0.3</v>
      </c>
      <c r="F15">
        <f>E15*100</f>
        <v>30</v>
      </c>
      <c r="G15">
        <f>F15/8</f>
        <v>3.75</v>
      </c>
    </row>
    <row r="16" spans="1:7" ht="16" x14ac:dyDescent="0.2">
      <c r="A16" s="2" t="s">
        <v>32</v>
      </c>
      <c r="B16" s="2" t="s">
        <v>33</v>
      </c>
      <c r="C16" s="2" t="s">
        <v>34</v>
      </c>
      <c r="D16">
        <v>16</v>
      </c>
      <c r="E16" s="3">
        <f t="shared" si="0"/>
        <v>0.26666666666666666</v>
      </c>
      <c r="F16" s="3">
        <f t="shared" si="1"/>
        <v>26.666666666666668</v>
      </c>
      <c r="G16" s="3">
        <f t="shared" si="2"/>
        <v>3.3333333333333335</v>
      </c>
    </row>
    <row r="17" spans="1:7" ht="16" x14ac:dyDescent="0.2">
      <c r="A17" s="2" t="s">
        <v>35</v>
      </c>
      <c r="B17" s="2" t="s">
        <v>36</v>
      </c>
      <c r="C17" s="2" t="s">
        <v>34</v>
      </c>
      <c r="D17">
        <v>16</v>
      </c>
      <c r="E17" s="3">
        <f t="shared" si="0"/>
        <v>0.26666666666666666</v>
      </c>
      <c r="F17" s="3">
        <f t="shared" si="1"/>
        <v>26.666666666666668</v>
      </c>
      <c r="G17" s="3">
        <f t="shared" si="2"/>
        <v>3.3333333333333335</v>
      </c>
    </row>
    <row r="18" spans="1:7" ht="16" x14ac:dyDescent="0.2">
      <c r="A18" s="2" t="s">
        <v>37</v>
      </c>
      <c r="B18" s="2" t="s">
        <v>38</v>
      </c>
      <c r="C18" s="2" t="s">
        <v>34</v>
      </c>
      <c r="D18">
        <v>16</v>
      </c>
      <c r="E18" s="3">
        <f t="shared" si="0"/>
        <v>0.26666666666666666</v>
      </c>
      <c r="F18" s="3">
        <f t="shared" si="1"/>
        <v>26.666666666666668</v>
      </c>
      <c r="G18" s="3">
        <f t="shared" si="2"/>
        <v>3.3333333333333335</v>
      </c>
    </row>
    <row r="19" spans="1:7" ht="16" x14ac:dyDescent="0.2">
      <c r="A19" s="2" t="s">
        <v>39</v>
      </c>
      <c r="B19" s="2" t="s">
        <v>40</v>
      </c>
      <c r="C19" s="2" t="s">
        <v>34</v>
      </c>
      <c r="D19">
        <v>16</v>
      </c>
      <c r="E19" s="3">
        <f t="shared" si="0"/>
        <v>0.26666666666666666</v>
      </c>
      <c r="F19" s="3">
        <f t="shared" si="1"/>
        <v>26.666666666666668</v>
      </c>
      <c r="G19" s="3">
        <f t="shared" si="2"/>
        <v>3.3333333333333335</v>
      </c>
    </row>
    <row r="20" spans="1:7" ht="16" x14ac:dyDescent="0.2">
      <c r="A20" s="2" t="s">
        <v>41</v>
      </c>
      <c r="B20" s="2" t="s">
        <v>42</v>
      </c>
      <c r="C20" s="2" t="s">
        <v>34</v>
      </c>
      <c r="D20">
        <v>16</v>
      </c>
      <c r="E20" s="3">
        <f t="shared" si="0"/>
        <v>0.26666666666666666</v>
      </c>
      <c r="F20" s="3">
        <f t="shared" si="1"/>
        <v>26.666666666666668</v>
      </c>
      <c r="G20" s="3">
        <f t="shared" si="2"/>
        <v>3.3333333333333335</v>
      </c>
    </row>
    <row r="21" spans="1:7" ht="16" x14ac:dyDescent="0.2">
      <c r="A21" s="2" t="s">
        <v>43</v>
      </c>
      <c r="B21" s="2" t="s">
        <v>44</v>
      </c>
      <c r="C21" s="2" t="s">
        <v>34</v>
      </c>
      <c r="D21">
        <v>36</v>
      </c>
      <c r="E21">
        <f t="shared" si="0"/>
        <v>0.6</v>
      </c>
      <c r="F21">
        <f t="shared" si="1"/>
        <v>60</v>
      </c>
      <c r="G21">
        <f t="shared" si="2"/>
        <v>7.5</v>
      </c>
    </row>
    <row r="22" spans="1:7" ht="16" x14ac:dyDescent="0.2">
      <c r="A22" s="2" t="s">
        <v>45</v>
      </c>
      <c r="B22" s="2" t="s">
        <v>46</v>
      </c>
      <c r="C22" s="2" t="s">
        <v>34</v>
      </c>
      <c r="D22">
        <v>18</v>
      </c>
      <c r="E22">
        <f t="shared" si="0"/>
        <v>0.3</v>
      </c>
      <c r="F22">
        <f t="shared" si="1"/>
        <v>30</v>
      </c>
      <c r="G22">
        <f t="shared" si="2"/>
        <v>3.75</v>
      </c>
    </row>
    <row r="23" spans="1:7" ht="16" x14ac:dyDescent="0.2">
      <c r="A23" s="2" t="s">
        <v>47</v>
      </c>
      <c r="B23" s="2" t="s">
        <v>48</v>
      </c>
      <c r="C23" s="2" t="s">
        <v>34</v>
      </c>
      <c r="D23">
        <v>48</v>
      </c>
      <c r="E23">
        <f t="shared" si="0"/>
        <v>0.8</v>
      </c>
      <c r="F23">
        <f t="shared" si="1"/>
        <v>80</v>
      </c>
      <c r="G23">
        <f t="shared" si="2"/>
        <v>10</v>
      </c>
    </row>
    <row r="24" spans="1:7" ht="16" x14ac:dyDescent="0.2">
      <c r="A24" s="2" t="s">
        <v>49</v>
      </c>
      <c r="B24" s="2" t="s">
        <v>50</v>
      </c>
      <c r="C24" s="2" t="s">
        <v>34</v>
      </c>
      <c r="D24">
        <v>24</v>
      </c>
      <c r="E24">
        <f t="shared" si="0"/>
        <v>0.4</v>
      </c>
      <c r="F24">
        <f t="shared" si="1"/>
        <v>40</v>
      </c>
      <c r="G24">
        <f t="shared" si="2"/>
        <v>5</v>
      </c>
    </row>
    <row r="25" spans="1:7" ht="16" x14ac:dyDescent="0.2">
      <c r="A25" s="2" t="s">
        <v>51</v>
      </c>
      <c r="B25" s="2" t="s">
        <v>52</v>
      </c>
      <c r="C25" s="2" t="s">
        <v>5</v>
      </c>
      <c r="D25" s="4">
        <v>37.5</v>
      </c>
      <c r="E25" s="3">
        <f t="shared" si="0"/>
        <v>0.625</v>
      </c>
      <c r="F25" s="3">
        <f t="shared" si="1"/>
        <v>62.5</v>
      </c>
      <c r="G25" s="3">
        <f t="shared" si="2"/>
        <v>7.8125</v>
      </c>
    </row>
    <row r="26" spans="1:7" ht="16" x14ac:dyDescent="0.2">
      <c r="A26" s="2" t="s">
        <v>53</v>
      </c>
      <c r="B26" s="2" t="s">
        <v>54</v>
      </c>
      <c r="C26" s="2" t="s">
        <v>5</v>
      </c>
      <c r="D26" s="4">
        <v>31.25</v>
      </c>
      <c r="E26" s="3">
        <f t="shared" si="0"/>
        <v>0.52083333333333337</v>
      </c>
      <c r="F26" s="3">
        <f t="shared" si="1"/>
        <v>52.083333333333336</v>
      </c>
      <c r="G26" s="3">
        <f t="shared" si="2"/>
        <v>6.510416666666667</v>
      </c>
    </row>
    <row r="27" spans="1:7" ht="16" x14ac:dyDescent="0.2">
      <c r="A27" s="2" t="s">
        <v>55</v>
      </c>
      <c r="B27" s="2" t="s">
        <v>56</v>
      </c>
      <c r="C27" s="2" t="s">
        <v>5</v>
      </c>
      <c r="D27" s="4">
        <v>31.25</v>
      </c>
      <c r="E27" s="3">
        <f t="shared" si="0"/>
        <v>0.52083333333333337</v>
      </c>
      <c r="F27" s="3">
        <f t="shared" si="1"/>
        <v>52.083333333333336</v>
      </c>
      <c r="G27" s="3">
        <f t="shared" si="2"/>
        <v>6.510416666666667</v>
      </c>
    </row>
    <row r="28" spans="1:7" ht="16" x14ac:dyDescent="0.2">
      <c r="A28" s="2" t="s">
        <v>57</v>
      </c>
      <c r="B28" s="2" t="s">
        <v>58</v>
      </c>
      <c r="C28" s="2" t="s">
        <v>5</v>
      </c>
      <c r="D28" s="4">
        <v>25</v>
      </c>
      <c r="E28" s="3">
        <f t="shared" si="0"/>
        <v>0.41666666666666669</v>
      </c>
      <c r="F28" s="3">
        <f t="shared" si="1"/>
        <v>41.666666666666671</v>
      </c>
      <c r="G28" s="3">
        <f t="shared" si="2"/>
        <v>5.2083333333333339</v>
      </c>
    </row>
    <row r="29" spans="1:7" ht="16" x14ac:dyDescent="0.2">
      <c r="A29" s="2" t="s">
        <v>59</v>
      </c>
      <c r="B29" s="2" t="s">
        <v>60</v>
      </c>
      <c r="C29" s="2" t="s">
        <v>5</v>
      </c>
      <c r="D29" s="4">
        <v>27.5</v>
      </c>
      <c r="E29" s="3">
        <f t="shared" si="0"/>
        <v>0.45833333333333331</v>
      </c>
      <c r="F29" s="3">
        <f t="shared" si="1"/>
        <v>45.833333333333329</v>
      </c>
      <c r="G29" s="3">
        <f t="shared" si="2"/>
        <v>5.7291666666666661</v>
      </c>
    </row>
    <row r="30" spans="1:7" ht="16" x14ac:dyDescent="0.2">
      <c r="A30" s="2" t="s">
        <v>61</v>
      </c>
      <c r="B30" s="2" t="s">
        <v>62</v>
      </c>
      <c r="C30" s="2" t="s">
        <v>5</v>
      </c>
      <c r="D30" s="4">
        <v>25</v>
      </c>
      <c r="E30" s="3">
        <f t="shared" si="0"/>
        <v>0.41666666666666669</v>
      </c>
      <c r="F30" s="3">
        <f t="shared" si="1"/>
        <v>41.666666666666671</v>
      </c>
      <c r="G30" s="3">
        <f t="shared" si="2"/>
        <v>5.2083333333333339</v>
      </c>
    </row>
    <row r="31" spans="1:7" ht="16" x14ac:dyDescent="0.2">
      <c r="A31" s="2" t="s">
        <v>63</v>
      </c>
      <c r="B31" s="2" t="s">
        <v>64</v>
      </c>
      <c r="C31" s="2" t="s">
        <v>5</v>
      </c>
      <c r="D31" s="4">
        <v>26.25</v>
      </c>
      <c r="E31" s="3">
        <f t="shared" si="0"/>
        <v>0.4375</v>
      </c>
      <c r="F31" s="3">
        <f t="shared" si="1"/>
        <v>43.75</v>
      </c>
      <c r="G31" s="3">
        <f t="shared" si="2"/>
        <v>5.46875</v>
      </c>
    </row>
    <row r="32" spans="1:7" ht="16" x14ac:dyDescent="0.2">
      <c r="A32" s="2" t="s">
        <v>65</v>
      </c>
      <c r="B32" s="2" t="s">
        <v>66</v>
      </c>
      <c r="C32" s="2" t="s">
        <v>5</v>
      </c>
      <c r="D32" s="4">
        <v>22.5</v>
      </c>
      <c r="E32" s="3">
        <f t="shared" si="0"/>
        <v>0.375</v>
      </c>
      <c r="F32" s="3">
        <f t="shared" si="1"/>
        <v>37.5</v>
      </c>
      <c r="G32" s="3">
        <f t="shared" si="2"/>
        <v>4.6875</v>
      </c>
    </row>
    <row r="33" spans="1:7" ht="16" x14ac:dyDescent="0.2">
      <c r="A33" s="2" t="s">
        <v>67</v>
      </c>
      <c r="B33" s="2" t="s">
        <v>68</v>
      </c>
      <c r="C33" s="2" t="s">
        <v>5</v>
      </c>
      <c r="D33" s="4">
        <v>22.5</v>
      </c>
      <c r="E33" s="3">
        <f t="shared" si="0"/>
        <v>0.375</v>
      </c>
      <c r="F33" s="3">
        <f t="shared" si="1"/>
        <v>37.5</v>
      </c>
      <c r="G33" s="3">
        <f t="shared" si="2"/>
        <v>4.6875</v>
      </c>
    </row>
    <row r="34" spans="1:7" ht="16" x14ac:dyDescent="0.2">
      <c r="A34" s="2" t="s">
        <v>69</v>
      </c>
      <c r="B34" s="2" t="s">
        <v>70</v>
      </c>
      <c r="C34" s="2" t="s">
        <v>5</v>
      </c>
      <c r="D34" s="4">
        <v>22.5</v>
      </c>
      <c r="E34" s="3">
        <f t="shared" si="0"/>
        <v>0.375</v>
      </c>
      <c r="F34" s="3">
        <f t="shared" si="1"/>
        <v>37.5</v>
      </c>
      <c r="G34" s="3">
        <f t="shared" si="2"/>
        <v>4.6875</v>
      </c>
    </row>
    <row r="35" spans="1:7" ht="16" x14ac:dyDescent="0.2">
      <c r="A35" s="2" t="s">
        <v>71</v>
      </c>
      <c r="B35" s="2" t="s">
        <v>72</v>
      </c>
      <c r="C35" s="2" t="s">
        <v>5</v>
      </c>
      <c r="D35" s="4">
        <v>22.5</v>
      </c>
      <c r="E35" s="3">
        <f t="shared" si="0"/>
        <v>0.375</v>
      </c>
      <c r="F35" s="3">
        <f t="shared" si="1"/>
        <v>37.5</v>
      </c>
      <c r="G35" s="3">
        <f t="shared" si="2"/>
        <v>4.6875</v>
      </c>
    </row>
    <row r="36" spans="1:7" ht="16" x14ac:dyDescent="0.2">
      <c r="A36" s="2" t="s">
        <v>73</v>
      </c>
      <c r="B36" s="2" t="s">
        <v>74</v>
      </c>
      <c r="C36" s="2" t="s">
        <v>5</v>
      </c>
      <c r="D36" s="4">
        <v>22.5</v>
      </c>
      <c r="E36" s="3">
        <f t="shared" si="0"/>
        <v>0.375</v>
      </c>
      <c r="F36" s="3">
        <f t="shared" si="1"/>
        <v>37.5</v>
      </c>
      <c r="G36" s="3">
        <f t="shared" si="2"/>
        <v>4.6875</v>
      </c>
    </row>
    <row r="37" spans="1:7" ht="16" x14ac:dyDescent="0.2">
      <c r="A37" s="2" t="s">
        <v>75</v>
      </c>
      <c r="B37" s="2" t="s">
        <v>76</v>
      </c>
      <c r="C37" s="2" t="s">
        <v>5</v>
      </c>
      <c r="D37" s="4">
        <v>22.5</v>
      </c>
      <c r="E37" s="3">
        <f t="shared" si="0"/>
        <v>0.375</v>
      </c>
      <c r="F37" s="3">
        <f t="shared" si="1"/>
        <v>37.5</v>
      </c>
      <c r="G37" s="3">
        <f t="shared" si="2"/>
        <v>4.6875</v>
      </c>
    </row>
    <row r="38" spans="1:7" ht="16" x14ac:dyDescent="0.2">
      <c r="A38" s="2" t="s">
        <v>77</v>
      </c>
      <c r="B38" s="2" t="s">
        <v>78</v>
      </c>
      <c r="C38" s="2" t="s">
        <v>5</v>
      </c>
      <c r="D38" s="4">
        <v>22.5</v>
      </c>
      <c r="E38" s="3">
        <f t="shared" si="0"/>
        <v>0.375</v>
      </c>
      <c r="F38" s="3">
        <f t="shared" si="1"/>
        <v>37.5</v>
      </c>
      <c r="G38" s="3">
        <f t="shared" si="2"/>
        <v>4.6875</v>
      </c>
    </row>
    <row r="39" spans="1:7" ht="16" x14ac:dyDescent="0.2">
      <c r="A39" s="2" t="s">
        <v>79</v>
      </c>
      <c r="B39" s="2" t="s">
        <v>80</v>
      </c>
      <c r="C39" s="2" t="s">
        <v>34</v>
      </c>
      <c r="D39" s="4">
        <v>32</v>
      </c>
      <c r="E39" s="3">
        <f t="shared" si="0"/>
        <v>0.53333333333333333</v>
      </c>
      <c r="F39" s="3">
        <f t="shared" si="1"/>
        <v>53.333333333333336</v>
      </c>
      <c r="G39" s="3">
        <f t="shared" si="2"/>
        <v>6.666666666666667</v>
      </c>
    </row>
    <row r="40" spans="1:7" ht="16" x14ac:dyDescent="0.2">
      <c r="A40" s="2" t="s">
        <v>81</v>
      </c>
      <c r="B40" s="2" t="s">
        <v>82</v>
      </c>
      <c r="C40" s="2" t="s">
        <v>34</v>
      </c>
      <c r="D40" s="4">
        <v>48</v>
      </c>
      <c r="E40" s="3">
        <f t="shared" si="0"/>
        <v>0.8</v>
      </c>
      <c r="F40" s="3">
        <f t="shared" si="1"/>
        <v>80</v>
      </c>
      <c r="G40" s="3">
        <f t="shared" si="2"/>
        <v>10</v>
      </c>
    </row>
    <row r="41" spans="1:7" ht="16" x14ac:dyDescent="0.2">
      <c r="A41" s="2" t="s">
        <v>83</v>
      </c>
      <c r="B41" s="2" t="s">
        <v>84</v>
      </c>
      <c r="C41" s="2" t="s">
        <v>34</v>
      </c>
      <c r="D41" s="4">
        <v>32</v>
      </c>
      <c r="E41" s="3">
        <f t="shared" si="0"/>
        <v>0.53333333333333333</v>
      </c>
      <c r="F41" s="3">
        <f t="shared" si="1"/>
        <v>53.333333333333336</v>
      </c>
      <c r="G41" s="3">
        <f t="shared" si="2"/>
        <v>6.666666666666667</v>
      </c>
    </row>
    <row r="42" spans="1:7" ht="16" x14ac:dyDescent="0.2">
      <c r="A42" s="2" t="s">
        <v>85</v>
      </c>
      <c r="B42" s="2" t="s">
        <v>86</v>
      </c>
      <c r="C42" s="2" t="s">
        <v>34</v>
      </c>
      <c r="D42">
        <f>36*1.2</f>
        <v>43.199999999999996</v>
      </c>
      <c r="E42">
        <f t="shared" si="0"/>
        <v>0.72</v>
      </c>
      <c r="F42">
        <f t="shared" si="1"/>
        <v>72</v>
      </c>
      <c r="G42">
        <f t="shared" si="2"/>
        <v>9</v>
      </c>
    </row>
    <row r="43" spans="1:7" ht="16" x14ac:dyDescent="0.2">
      <c r="A43" s="2" t="s">
        <v>87</v>
      </c>
      <c r="B43" s="2" t="s">
        <v>88</v>
      </c>
      <c r="C43" s="2" t="s">
        <v>34</v>
      </c>
      <c r="D43">
        <f>18*1.2</f>
        <v>21.599999999999998</v>
      </c>
      <c r="E43">
        <f t="shared" si="0"/>
        <v>0.36</v>
      </c>
      <c r="F43">
        <f t="shared" si="1"/>
        <v>36</v>
      </c>
      <c r="G43">
        <f t="shared" si="2"/>
        <v>4.5</v>
      </c>
    </row>
    <row r="44" spans="1:7" ht="16" x14ac:dyDescent="0.2">
      <c r="A44" s="2" t="s">
        <v>89</v>
      </c>
      <c r="B44" s="2" t="s">
        <v>90</v>
      </c>
      <c r="C44" s="2" t="s">
        <v>34</v>
      </c>
      <c r="D44">
        <f>48*1.2</f>
        <v>57.599999999999994</v>
      </c>
      <c r="E44">
        <f t="shared" si="0"/>
        <v>0.95999999999999985</v>
      </c>
      <c r="F44">
        <f t="shared" si="1"/>
        <v>95.999999999999986</v>
      </c>
      <c r="G44">
        <f t="shared" si="2"/>
        <v>11.999999999999998</v>
      </c>
    </row>
    <row r="45" spans="1:7" ht="16" x14ac:dyDescent="0.2">
      <c r="A45" s="2" t="s">
        <v>91</v>
      </c>
      <c r="B45" s="2" t="s">
        <v>92</v>
      </c>
      <c r="C45" s="2" t="s">
        <v>34</v>
      </c>
      <c r="D45">
        <f>24*1.2</f>
        <v>28.799999999999997</v>
      </c>
      <c r="E45">
        <f t="shared" si="0"/>
        <v>0.47999999999999993</v>
      </c>
      <c r="F45">
        <f t="shared" si="1"/>
        <v>47.999999999999993</v>
      </c>
      <c r="G45">
        <f t="shared" si="2"/>
        <v>5.9999999999999991</v>
      </c>
    </row>
    <row r="46" spans="1:7" ht="16" x14ac:dyDescent="0.2">
      <c r="A46" s="2" t="s">
        <v>93</v>
      </c>
      <c r="B46" s="2" t="s">
        <v>94</v>
      </c>
      <c r="C46" s="2" t="s">
        <v>34</v>
      </c>
      <c r="D46">
        <v>32</v>
      </c>
      <c r="E46" s="3">
        <f t="shared" si="0"/>
        <v>0.53333333333333333</v>
      </c>
      <c r="F46" s="3">
        <f t="shared" si="1"/>
        <v>53.333333333333336</v>
      </c>
      <c r="G46" s="3">
        <f t="shared" si="2"/>
        <v>6.666666666666667</v>
      </c>
    </row>
    <row r="47" spans="1:7" ht="16" x14ac:dyDescent="0.2">
      <c r="A47" s="2" t="s">
        <v>95</v>
      </c>
      <c r="B47" s="2" t="s">
        <v>96</v>
      </c>
      <c r="C47" s="2" t="s">
        <v>34</v>
      </c>
      <c r="D47">
        <v>16</v>
      </c>
      <c r="E47" s="3">
        <f t="shared" si="0"/>
        <v>0.26666666666666666</v>
      </c>
      <c r="F47" s="3">
        <f t="shared" si="1"/>
        <v>26.666666666666668</v>
      </c>
      <c r="G47" s="3">
        <f t="shared" si="2"/>
        <v>3.3333333333333335</v>
      </c>
    </row>
    <row r="48" spans="1:7" ht="16" x14ac:dyDescent="0.2">
      <c r="A48" s="2" t="s">
        <v>97</v>
      </c>
      <c r="B48" s="2" t="s">
        <v>98</v>
      </c>
      <c r="C48" s="2" t="s">
        <v>34</v>
      </c>
      <c r="D48">
        <v>48</v>
      </c>
      <c r="E48" s="3">
        <f t="shared" si="0"/>
        <v>0.8</v>
      </c>
      <c r="F48" s="3">
        <f t="shared" si="1"/>
        <v>80</v>
      </c>
      <c r="G48" s="3">
        <f t="shared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QUEB CASTILLO</cp:lastModifiedBy>
  <dcterms:created xsi:type="dcterms:W3CDTF">2026-06-04T16:49:49Z</dcterms:created>
  <dcterms:modified xsi:type="dcterms:W3CDTF">2026-06-04T17:25:25Z</dcterms:modified>
</cp:coreProperties>
</file>